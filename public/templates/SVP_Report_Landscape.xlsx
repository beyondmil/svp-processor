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mukhammadnursulaiman/Documents/5_project/6_svp/"/>
    </mc:Choice>
  </mc:AlternateContent>
  <xr:revisionPtr revIDLastSave="0" documentId="13_ncr:1_{54AAD80C-3923-AE41-9E56-0D43C10028F9}" xr6:coauthVersionLast="47" xr6:coauthVersionMax="47" xr10:uidLastSave="{00000000-0000-0000-0000-000000000000}"/>
  <bookViews>
    <workbookView xWindow="0" yWindow="780" windowWidth="36000" windowHeight="21520" xr2:uid="{00000000-000D-0000-FFFF-FFFF00000000}"/>
  </bookViews>
  <sheets>
    <sheet name="RAW" sheetId="9" r:id="rId1"/>
    <sheet name="SVP" sheetId="3" r:id="rId2"/>
    <sheet name="Graph" sheetId="8" r:id="rId3"/>
  </sheets>
  <definedNames>
    <definedName name="_xlnm.Print_Area" localSheetId="1">SVP!$A$1:$F$51</definedName>
    <definedName name="_xlnm.Print_Titles" localSheetId="1">SVP!$1:$7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3" l="1"/>
  <c r="B48" i="3"/>
  <c r="C47" i="3"/>
  <c r="C51" i="3" s="1"/>
  <c r="F50" i="3"/>
  <c r="E50" i="3"/>
  <c r="F47" i="3"/>
  <c r="E47" i="3"/>
  <c r="C50" i="3"/>
  <c r="B50" i="3"/>
  <c r="F48" i="3" l="1"/>
  <c r="E48" i="3"/>
  <c r="E49" i="3"/>
  <c r="F49" i="3"/>
  <c r="B49" i="3"/>
  <c r="C49" i="3" l="1"/>
  <c r="C48" i="3"/>
</calcChain>
</file>

<file path=xl/sharedStrings.xml><?xml version="1.0" encoding="utf-8"?>
<sst xmlns="http://schemas.openxmlformats.org/spreadsheetml/2006/main" count="25" uniqueCount="18">
  <si>
    <t>Average</t>
  </si>
  <si>
    <t>Minimum</t>
  </si>
  <si>
    <t>Maximum</t>
  </si>
  <si>
    <t>SD</t>
  </si>
  <si>
    <t>Downward</t>
  </si>
  <si>
    <t>Upward</t>
  </si>
  <si>
    <t>Overall Average Velocity</t>
  </si>
  <si>
    <t>Job No.</t>
  </si>
  <si>
    <t>Project</t>
  </si>
  <si>
    <t>Client</t>
  </si>
  <si>
    <t>Date/Time</t>
  </si>
  <si>
    <t>Instrument</t>
  </si>
  <si>
    <t>Vessel</t>
  </si>
  <si>
    <t>Location</t>
  </si>
  <si>
    <t>Area</t>
  </si>
  <si>
    <t>Depth (m)</t>
  </si>
  <si>
    <t>Velocity(m/s)</t>
  </si>
  <si>
    <t>Temp 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</si>
</sst>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\ h:mm\ AM/PM;@"/>
    <numFmt numFmtId="166" formatCode="0.000"/>
  </numFmts>
  <fonts count="26" x14ac:knownFonts="1"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Tahom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Tahoma"/>
      <family val="2"/>
    </font>
    <font>
      <sz val="9"/>
      <name val="Arial"/>
      <family val="2"/>
    </font>
    <font>
      <sz val="9"/>
      <name val="Arial Narrow"/>
      <family val="2"/>
    </font>
    <font>
      <b/>
      <sz val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5" applyNumberFormat="0" applyAlignment="0" applyProtection="0"/>
    <xf numFmtId="0" fontId="9" fillId="28" borderId="6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5" applyNumberFormat="0" applyAlignment="0" applyProtection="0"/>
    <xf numFmtId="0" fontId="16" fillId="0" borderId="10" applyNumberFormat="0" applyFill="0" applyAlignment="0" applyProtection="0"/>
    <xf numFmtId="0" fontId="17" fillId="31" borderId="0" applyNumberFormat="0" applyBorder="0" applyAlignment="0" applyProtection="0"/>
    <xf numFmtId="0" fontId="1" fillId="0" borderId="0"/>
    <xf numFmtId="0" fontId="1" fillId="0" borderId="0"/>
    <xf numFmtId="0" fontId="4" fillId="32" borderId="11" applyNumberFormat="0" applyFont="0" applyAlignment="0" applyProtection="0"/>
    <xf numFmtId="0" fontId="18" fillId="27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38"/>
    <xf numFmtId="2" fontId="1" fillId="0" borderId="0" xfId="38" applyNumberFormat="1"/>
    <xf numFmtId="0" fontId="2" fillId="0" borderId="0" xfId="38" applyFont="1" applyAlignment="1">
      <alignment horizontal="center"/>
    </xf>
    <xf numFmtId="0" fontId="3" fillId="0" borderId="0" xfId="38" applyFont="1"/>
    <xf numFmtId="2" fontId="22" fillId="0" borderId="1" xfId="38" applyNumberFormat="1" applyFont="1" applyBorder="1" applyAlignment="1">
      <alignment horizontal="center"/>
    </xf>
    <xf numFmtId="0" fontId="22" fillId="0" borderId="1" xfId="38" applyFont="1" applyBorder="1" applyAlignment="1">
      <alignment horizontal="center"/>
    </xf>
    <xf numFmtId="166" fontId="22" fillId="0" borderId="1" xfId="38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2" fillId="34" borderId="1" xfId="38" applyFont="1" applyFill="1" applyBorder="1"/>
    <xf numFmtId="166" fontId="23" fillId="0" borderId="1" xfId="0" applyNumberFormat="1" applyFont="1" applyBorder="1" applyAlignment="1">
      <alignment horizontal="center" vertical="center"/>
    </xf>
    <xf numFmtId="166" fontId="23" fillId="0" borderId="1" xfId="38" applyNumberFormat="1" applyFont="1" applyBorder="1" applyAlignment="1">
      <alignment horizontal="center"/>
    </xf>
    <xf numFmtId="166" fontId="3" fillId="0" borderId="1" xfId="38" applyNumberFormat="1" applyFont="1" applyBorder="1" applyAlignment="1">
      <alignment horizontal="center"/>
    </xf>
    <xf numFmtId="2" fontId="3" fillId="0" borderId="1" xfId="38" applyNumberFormat="1" applyFont="1" applyBorder="1" applyAlignment="1">
      <alignment horizontal="center"/>
    </xf>
    <xf numFmtId="0" fontId="3" fillId="0" borderId="1" xfId="38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8" xfId="0" applyNumberFormat="1" applyFont="1" applyBorder="1" applyAlignment="1">
      <alignment horizontal="center" vertical="center"/>
    </xf>
    <xf numFmtId="2" fontId="23" fillId="0" borderId="1" xfId="38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0" borderId="1" xfId="38" applyFont="1" applyBorder="1" applyAlignment="1">
      <alignment horizontal="center"/>
    </xf>
    <xf numFmtId="0" fontId="22" fillId="0" borderId="2" xfId="37" applyFont="1" applyBorder="1" applyAlignment="1">
      <alignment vertical="center"/>
    </xf>
    <xf numFmtId="0" fontId="22" fillId="0" borderId="3" xfId="37" applyFont="1" applyBorder="1" applyAlignment="1">
      <alignment vertical="center"/>
    </xf>
    <xf numFmtId="0" fontId="22" fillId="0" borderId="14" xfId="37" applyFont="1" applyBorder="1" applyAlignment="1">
      <alignment vertical="center"/>
    </xf>
    <xf numFmtId="0" fontId="22" fillId="0" borderId="4" xfId="37" applyFont="1" applyBorder="1" applyAlignment="1">
      <alignment vertical="center"/>
    </xf>
    <xf numFmtId="0" fontId="22" fillId="0" borderId="0" xfId="37" applyFont="1" applyAlignment="1">
      <alignment horizontal="left" vertical="center"/>
    </xf>
    <xf numFmtId="0" fontId="22" fillId="0" borderId="0" xfId="37" applyFont="1" applyAlignment="1">
      <alignment vertical="center"/>
    </xf>
    <xf numFmtId="0" fontId="22" fillId="0" borderId="0" xfId="38" applyFont="1" applyAlignment="1">
      <alignment vertical="center"/>
    </xf>
    <xf numFmtId="0" fontId="22" fillId="0" borderId="15" xfId="38" applyFont="1" applyBorder="1" applyAlignment="1">
      <alignment vertical="center"/>
    </xf>
    <xf numFmtId="0" fontId="22" fillId="0" borderId="15" xfId="37" applyFont="1" applyBorder="1" applyAlignment="1">
      <alignment vertical="center"/>
    </xf>
    <xf numFmtId="2" fontId="22" fillId="0" borderId="4" xfId="38" applyNumberFormat="1" applyFont="1" applyBorder="1" applyAlignment="1">
      <alignment vertical="center"/>
    </xf>
    <xf numFmtId="165" fontId="22" fillId="0" borderId="0" xfId="38" applyNumberFormat="1" applyFont="1" applyAlignment="1">
      <alignment vertical="center"/>
    </xf>
    <xf numFmtId="2" fontId="22" fillId="0" borderId="0" xfId="38" applyNumberFormat="1" applyFont="1" applyAlignment="1">
      <alignment vertical="center"/>
    </xf>
    <xf numFmtId="0" fontId="24" fillId="0" borderId="0" xfId="38" applyFont="1"/>
    <xf numFmtId="2" fontId="25" fillId="0" borderId="0" xfId="38" applyNumberFormat="1" applyFont="1"/>
    <xf numFmtId="0" fontId="25" fillId="0" borderId="0" xfId="38" applyFont="1"/>
    <xf numFmtId="0" fontId="25" fillId="0" borderId="0" xfId="0" applyFont="1" applyAlignment="1">
      <alignment wrapText="1"/>
    </xf>
    <xf numFmtId="0" fontId="22" fillId="33" borderId="1" xfId="38" applyFont="1" applyFill="1" applyBorder="1" applyAlignment="1">
      <alignment horizontal="center"/>
    </xf>
    <xf numFmtId="2" fontId="22" fillId="33" borderId="1" xfId="38" applyNumberFormat="1" applyFont="1" applyFill="1" applyBorder="1" applyAlignment="1">
      <alignment horizontal="center"/>
    </xf>
    <xf numFmtId="2" fontId="22" fillId="33" borderId="1" xfId="38" applyNumberFormat="1" applyFont="1" applyFill="1" applyBorder="1" applyAlignment="1">
      <alignment horizontal="center"/>
    </xf>
    <xf numFmtId="0" fontId="22" fillId="33" borderId="1" xfId="38" applyFont="1" applyFill="1" applyBorder="1" applyAlignment="1">
      <alignment horizontal="center"/>
    </xf>
    <xf numFmtId="164" fontId="3" fillId="35" borderId="1" xfId="0" applyNumberFormat="1" applyFont="1" applyFill="1" applyBorder="1" applyAlignment="1">
      <alignment horizontal="center" vertical="center"/>
    </xf>
    <xf numFmtId="164" fontId="3" fillId="35" borderId="16" xfId="0" applyNumberFormat="1" applyFont="1" applyFill="1" applyBorder="1" applyAlignment="1">
      <alignment horizontal="center" vertical="center"/>
    </xf>
    <xf numFmtId="164" fontId="3" fillId="35" borderId="17" xfId="0" applyNumberFormat="1" applyFont="1" applyFill="1" applyBorder="1" applyAlignment="1">
      <alignment horizontal="center" vertical="center"/>
    </xf>
    <xf numFmtId="164" fontId="3" fillId="35" borderId="18" xfId="0" applyNumberFormat="1" applyFont="1" applyFill="1" applyBorder="1" applyAlignment="1">
      <alignment horizontal="center" vertical="center"/>
    </xf>
    <xf numFmtId="2" fontId="22" fillId="34" borderId="16" xfId="0" applyNumberFormat="1" applyFont="1" applyFill="1" applyBorder="1" applyAlignment="1">
      <alignment horizontal="center" vertical="center"/>
    </xf>
    <xf numFmtId="2" fontId="22" fillId="34" borderId="18" xfId="0" applyNumberFormat="1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_301001" xfId="38" xr:uid="{00000000-0005-0000-0000-000026000000}"/>
    <cellStyle name="Note 2" xfId="39" xr:uid="{00000000-0005-0000-0000-000027000000}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vert="horz" anchor="t" anchorCtr="1"/>
          <a:lstStyle/>
          <a:p>
            <a:pPr>
              <a:defRPr/>
            </a:pPr>
            <a:r>
              <a:rPr lang="en-US" sz="1800" b="1" i="0" u="none" strike="noStrike" baseline="0">
                <a:latin typeface="Arial Narrow" panose="020B0606020202030204" pitchFamily="34" charset="0"/>
              </a:rPr>
              <a:t>SOUND VELOCITY PROFILE </a:t>
            </a:r>
            <a:endParaRPr lang="en-US"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37183724140325902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99774500018484"/>
          <c:y val="0.1340314196162373"/>
          <c:w val="0.64704229375043054"/>
          <c:h val="0.80240402532106014"/>
        </c:manualLayout>
      </c:layout>
      <c:scatterChart>
        <c:scatterStyle val="lineMarker"/>
        <c:varyColors val="0"/>
        <c:ser>
          <c:idx val="0"/>
          <c:order val="0"/>
          <c:tx>
            <c:v>Downward Velocity</c:v>
          </c:tx>
          <c:spPr>
            <a:ln>
              <a:solidFill>
                <a:srgbClr val="00B050"/>
              </a:solidFill>
            </a:ln>
          </c:spPr>
          <c:marker>
            <c:symbol val="x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SVP!$C$8:$C$32</c:f>
              <c:numCache>
                <c:formatCode>General</c:formatCode>
                <c:ptCount val="25"/>
              </c:numCache>
            </c:numRef>
          </c:xVal>
          <c:yVal>
            <c:numRef>
              <c:f>SVP!$A$8:$A$32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5-4E63-85E0-066A22F02B8C}"/>
            </c:ext>
          </c:extLst>
        </c:ser>
        <c:ser>
          <c:idx val="3"/>
          <c:order val="3"/>
          <c:tx>
            <c:v>Upward Velocity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xVal>
            <c:numRef>
              <c:f>SVP!$F$8:$F$28</c:f>
              <c:numCache>
                <c:formatCode>0.00</c:formatCode>
                <c:ptCount val="21"/>
              </c:numCache>
            </c:numRef>
          </c:xVal>
          <c:yVal>
            <c:numRef>
              <c:f>SVP!$D$8:$D$28</c:f>
              <c:numCache>
                <c:formatCode>0.000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5-4E63-85E0-066A22F02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115184"/>
        <c:axId val="949108656"/>
      </c:scatterChart>
      <c:scatterChart>
        <c:scatterStyle val="lineMarker"/>
        <c:varyColors val="0"/>
        <c:ser>
          <c:idx val="1"/>
          <c:order val="1"/>
          <c:tx>
            <c:v>Downward Temperature</c:v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SVP!$B$8:$B$32</c:f>
              <c:numCache>
                <c:formatCode>General</c:formatCode>
                <c:ptCount val="25"/>
              </c:numCache>
            </c:numRef>
          </c:xVal>
          <c:yVal>
            <c:numRef>
              <c:f>SVP!$A$8:$A$32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5-4E63-85E0-066A22F02B8C}"/>
            </c:ext>
          </c:extLst>
        </c:ser>
        <c:ser>
          <c:idx val="2"/>
          <c:order val="2"/>
          <c:tx>
            <c:v>Upward Temperature</c:v>
          </c:tx>
          <c:spPr>
            <a:ln>
              <a:solidFill>
                <a:srgbClr val="7030A0"/>
              </a:solidFill>
            </a:ln>
          </c:spPr>
          <c:marker>
            <c:symbol val="dash"/>
            <c:size val="3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SVP!$E$8:$E$28</c:f>
              <c:numCache>
                <c:formatCode>0.00</c:formatCode>
                <c:ptCount val="21"/>
              </c:numCache>
            </c:numRef>
          </c:xVal>
          <c:yVal>
            <c:numRef>
              <c:f>SVP!$D$8:$D$28</c:f>
              <c:numCache>
                <c:formatCode>0.000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5-4E63-85E0-066A22F02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109200"/>
        <c:axId val="949109744"/>
      </c:scatterChart>
      <c:valAx>
        <c:axId val="949115184"/>
        <c:scaling>
          <c:orientation val="minMax"/>
        </c:scaling>
        <c:delete val="0"/>
        <c:axPos val="t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900">
                    <a:latin typeface="Tahoma" pitchFamily="34" charset="0"/>
                    <a:cs typeface="Tahoma" pitchFamily="34" charset="0"/>
                  </a:rPr>
                  <a:t>WATER DEPTH (m)</a:t>
                </a:r>
              </a:p>
            </c:rich>
          </c:tx>
          <c:layout>
            <c:manualLayout>
              <c:xMode val="edge"/>
              <c:yMode val="edge"/>
              <c:x val="0.13882540867617571"/>
              <c:y val="0.404450268224792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108656"/>
        <c:crosses val="autoZero"/>
        <c:crossBetween val="midCat"/>
      </c:valAx>
      <c:valAx>
        <c:axId val="949108656"/>
        <c:scaling>
          <c:orientation val="maxMin"/>
        </c:scaling>
        <c:delete val="0"/>
        <c:axPos val="l"/>
        <c:majorGridlines/>
        <c:min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VELOCITY (m/sec)</a:t>
                </a:r>
              </a:p>
            </c:rich>
          </c:tx>
          <c:layout>
            <c:manualLayout>
              <c:xMode val="edge"/>
              <c:yMode val="edge"/>
              <c:x val="0.47730437223461747"/>
              <c:y val="5.3748198267954767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49115184"/>
        <c:crosses val="autoZero"/>
        <c:crossBetween val="midCat"/>
      </c:valAx>
      <c:valAx>
        <c:axId val="94910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109744"/>
        <c:crosses val="max"/>
        <c:crossBetween val="midCat"/>
      </c:valAx>
      <c:valAx>
        <c:axId val="949109744"/>
        <c:scaling>
          <c:orientation val="maxMin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4910920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25136142597559913"/>
          <c:y val="0.77121294785201777"/>
          <c:w val="0.18958245434315205"/>
          <c:h val="0.14604818119368973"/>
        </c:manualLayout>
      </c:layout>
      <c:overlay val="0"/>
      <c:spPr>
        <a:gradFill>
          <a:gsLst>
            <a:gs pos="0">
              <a:srgbClr val="4F81BD">
                <a:tint val="66000"/>
                <a:satMod val="160000"/>
              </a:srgbClr>
            </a:gs>
            <a:gs pos="50000">
              <a:srgbClr val="4F81BD">
                <a:tint val="44500"/>
                <a:satMod val="160000"/>
              </a:srgbClr>
            </a:gs>
            <a:gs pos="100000">
              <a:srgbClr val="4F81BD">
                <a:tint val="23500"/>
                <a:satMod val="160000"/>
              </a:srgbClr>
            </a:gs>
          </a:gsLst>
          <a:lin ang="5400000" scaled="0"/>
        </a:gradFill>
      </c:spPr>
    </c:legend>
    <c:plotVisOnly val="1"/>
    <c:dispBlanksAs val="gap"/>
    <c:showDLblsOverMax val="0"/>
  </c:chart>
  <c:spPr>
    <a:noFill/>
    <a:ln w="9525">
      <a:noFill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0F9673-8144-42E1-B442-29BAEC820F4A}">
  <sheetPr/>
  <sheetViews>
    <sheetView workbookViewId="0"/>
  </sheetViews>
  <pageMargins left="0.7" right="0.7" top="0.75" bottom="0.75" header="0.3" footer="0.3"/>
  <pageSetup orientation="landscape" r:id="rId1"/>
  <headerFooter>
    <oddFooter>2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A9F07-1E26-41F0-2921-771D01BAD4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0.43624</cdr:x>
      <cdr:y>0.96506</cdr:y>
    </cdr:from>
    <cdr:to>
      <cdr:x>0.62896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3777064" y="6098267"/>
          <a:ext cx="1668613" cy="219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wrap="square" rtlCol="0" anchor="ctr" anchorCtr="0"/>
        <a:lstStyle xmlns:a="http://schemas.openxmlformats.org/drawingml/2006/main"/>
        <a:p xmlns:a="http://schemas.openxmlformats.org/drawingml/2006/main">
          <a:pPr algn="ctr"/>
          <a:r>
            <a:rPr lang="en-US" sz="900" b="1">
              <a:latin typeface="Tahoma" pitchFamily="34" charset="0"/>
              <a:cs typeface="Tahoma" pitchFamily="34" charset="0"/>
            </a:rPr>
            <a:t>TEMPERATURE</a:t>
          </a:r>
          <a:r>
            <a:rPr lang="en-US" sz="900" b="1" baseline="0">
              <a:latin typeface="Tahoma" pitchFamily="34" charset="0"/>
              <a:cs typeface="Tahoma" pitchFamily="34" charset="0"/>
            </a:rPr>
            <a:t> (C)</a:t>
          </a:r>
          <a:endParaRPr lang="en-US" sz="900" b="1">
            <a:latin typeface="Tahoma" pitchFamily="34" charset="0"/>
            <a:cs typeface="Tahoma" pitchFamily="34" charset="0"/>
          </a:endParaRPr>
        </a:p>
      </cdr:txBody>
    </cdr:sp>
  </cdr:relSizeAnchor>
  <cdr:relSizeAnchor xmlns:cdr="http://schemas.openxmlformats.org/drawingml/2006/chartDrawing">
    <cdr:from>
      <cdr:x>0.21893</cdr:x>
      <cdr:y>0.09011</cdr:y>
    </cdr:from>
    <cdr:to>
      <cdr:x>0.32429</cdr:x>
      <cdr:y>0.23717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1882588" y="56029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3388-A2ED-4C68-B918-5924D93BE9F1}">
  <dimension ref="A1"/>
  <sheetViews>
    <sheetView tabSelected="1" workbookViewId="0">
      <selection activeCell="D14" sqref="D14"/>
    </sheetView>
  </sheetViews>
  <sheetFormatPr baseColWidth="10" defaultColWidth="8.75" defaultRowHeight="11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view="pageBreakPreview" zoomScale="200" zoomScaleNormal="77" zoomScaleSheetLayoutView="115" workbookViewId="0">
      <selection activeCell="B49" sqref="B49"/>
    </sheetView>
  </sheetViews>
  <sheetFormatPr baseColWidth="10" defaultColWidth="10.75" defaultRowHeight="13" x14ac:dyDescent="0.15"/>
  <cols>
    <col min="1" max="1" width="14.75" style="2" customWidth="1"/>
    <col min="2" max="2" width="16.75" style="1" customWidth="1"/>
    <col min="3" max="3" width="20.75" style="1" customWidth="1"/>
    <col min="4" max="4" width="14.75" style="1" customWidth="1"/>
    <col min="5" max="5" width="16.75" style="1" customWidth="1"/>
    <col min="6" max="6" width="20.75" style="1" customWidth="1"/>
    <col min="7" max="7" width="15.75" style="1" customWidth="1"/>
    <col min="8" max="8" width="12.25" style="1" bestFit="1" customWidth="1"/>
    <col min="9" max="9" width="14.25" style="1" customWidth="1"/>
    <col min="10" max="10" width="19.5" style="1" customWidth="1"/>
    <col min="11" max="11" width="11.5" style="1" customWidth="1"/>
    <col min="12" max="16384" width="10.75" style="1"/>
  </cols>
  <sheetData>
    <row r="1" spans="1:15" x14ac:dyDescent="0.15">
      <c r="A1" s="23" t="s">
        <v>7</v>
      </c>
      <c r="B1" s="24"/>
      <c r="C1" s="24"/>
      <c r="D1" s="24" t="s">
        <v>14</v>
      </c>
      <c r="E1" s="24"/>
      <c r="F1" s="25"/>
      <c r="G1" s="4"/>
    </row>
    <row r="2" spans="1:15" x14ac:dyDescent="0.15">
      <c r="A2" s="26" t="s">
        <v>8</v>
      </c>
      <c r="B2" s="27"/>
      <c r="C2" s="28"/>
      <c r="D2" s="29" t="s">
        <v>13</v>
      </c>
      <c r="E2" s="29"/>
      <c r="F2" s="30"/>
      <c r="G2" s="4"/>
    </row>
    <row r="3" spans="1:15" x14ac:dyDescent="0.15">
      <c r="A3" s="26" t="s">
        <v>9</v>
      </c>
      <c r="B3" s="28"/>
      <c r="C3" s="28"/>
      <c r="D3" s="28" t="s">
        <v>12</v>
      </c>
      <c r="E3" s="28"/>
      <c r="F3" s="31"/>
    </row>
    <row r="4" spans="1:15" x14ac:dyDescent="0.15">
      <c r="A4" s="32" t="s">
        <v>10</v>
      </c>
      <c r="B4" s="33"/>
      <c r="C4" s="29"/>
      <c r="D4" s="34" t="s">
        <v>11</v>
      </c>
      <c r="E4" s="34"/>
      <c r="F4" s="30"/>
    </row>
    <row r="5" spans="1:15" ht="5.25" customHeight="1" x14ac:dyDescent="0.15">
      <c r="A5" s="35"/>
      <c r="B5" s="36"/>
      <c r="C5" s="37"/>
      <c r="D5" s="35"/>
      <c r="E5" s="35"/>
      <c r="F5" s="38"/>
    </row>
    <row r="6" spans="1:15" x14ac:dyDescent="0.15">
      <c r="A6" s="41" t="s">
        <v>4</v>
      </c>
      <c r="B6" s="41"/>
      <c r="C6" s="41"/>
      <c r="D6" s="42" t="s">
        <v>5</v>
      </c>
      <c r="E6" s="42"/>
      <c r="F6" s="42"/>
      <c r="G6" s="4"/>
    </row>
    <row r="7" spans="1:15" x14ac:dyDescent="0.15">
      <c r="A7" s="40" t="s">
        <v>15</v>
      </c>
      <c r="B7" s="39" t="s">
        <v>17</v>
      </c>
      <c r="C7" s="39" t="s">
        <v>16</v>
      </c>
      <c r="D7" s="40" t="s">
        <v>15</v>
      </c>
      <c r="E7" s="39" t="s">
        <v>17</v>
      </c>
      <c r="F7" s="39" t="s">
        <v>16</v>
      </c>
      <c r="G7" s="4"/>
      <c r="I7" s="3"/>
      <c r="J7" s="3"/>
      <c r="K7" s="3"/>
      <c r="M7"/>
      <c r="N7"/>
      <c r="O7"/>
    </row>
    <row r="8" spans="1:15" x14ac:dyDescent="0.15">
      <c r="A8" s="21"/>
      <c r="B8" s="16"/>
      <c r="C8" s="16"/>
      <c r="D8" s="11"/>
      <c r="E8" s="17"/>
      <c r="F8" s="18"/>
      <c r="G8" s="4"/>
      <c r="I8" s="3"/>
      <c r="J8" s="3"/>
      <c r="K8" s="3"/>
      <c r="M8"/>
      <c r="N8"/>
      <c r="O8"/>
    </row>
    <row r="9" spans="1:15" x14ac:dyDescent="0.15">
      <c r="A9" s="21"/>
      <c r="B9" s="16"/>
      <c r="C9" s="16"/>
      <c r="D9" s="11"/>
      <c r="E9" s="17"/>
      <c r="F9" s="19"/>
      <c r="G9" s="4"/>
      <c r="I9" s="3"/>
      <c r="J9" s="3"/>
      <c r="K9" s="3"/>
      <c r="M9"/>
      <c r="N9"/>
      <c r="O9"/>
    </row>
    <row r="10" spans="1:15" x14ac:dyDescent="0.15">
      <c r="A10" s="21"/>
      <c r="B10" s="16"/>
      <c r="C10" s="16"/>
      <c r="D10" s="11"/>
      <c r="E10" s="17"/>
      <c r="F10" s="19"/>
      <c r="G10" s="4"/>
      <c r="I10" s="3"/>
      <c r="J10" s="3"/>
      <c r="K10" s="3"/>
      <c r="M10"/>
      <c r="N10"/>
      <c r="O10"/>
    </row>
    <row r="11" spans="1:15" x14ac:dyDescent="0.15">
      <c r="A11" s="21"/>
      <c r="B11" s="16"/>
      <c r="C11" s="16"/>
      <c r="D11" s="11"/>
      <c r="E11" s="17"/>
      <c r="F11" s="19"/>
      <c r="M11"/>
      <c r="N11"/>
      <c r="O11"/>
    </row>
    <row r="12" spans="1:15" x14ac:dyDescent="0.15">
      <c r="A12" s="21"/>
      <c r="B12" s="16"/>
      <c r="C12" s="16"/>
      <c r="D12" s="11"/>
      <c r="E12" s="17"/>
      <c r="F12" s="19"/>
      <c r="M12"/>
      <c r="N12"/>
      <c r="O12"/>
    </row>
    <row r="13" spans="1:15" x14ac:dyDescent="0.15">
      <c r="A13" s="21"/>
      <c r="B13" s="16"/>
      <c r="C13" s="16"/>
      <c r="D13" s="11"/>
      <c r="E13" s="17"/>
      <c r="F13" s="19"/>
    </row>
    <row r="14" spans="1:15" x14ac:dyDescent="0.15">
      <c r="A14" s="21"/>
      <c r="B14" s="16"/>
      <c r="C14" s="16"/>
      <c r="D14" s="11"/>
      <c r="E14" s="17"/>
      <c r="F14" s="19"/>
    </row>
    <row r="15" spans="1:15" x14ac:dyDescent="0.15">
      <c r="A15" s="22"/>
      <c r="B15" s="22"/>
      <c r="C15" s="16"/>
      <c r="D15" s="12"/>
      <c r="E15" s="20"/>
      <c r="F15" s="20"/>
    </row>
    <row r="16" spans="1:15" x14ac:dyDescent="0.15">
      <c r="A16" s="22"/>
      <c r="B16" s="22"/>
      <c r="C16" s="16"/>
      <c r="D16" s="13"/>
      <c r="E16" s="14"/>
      <c r="F16" s="14"/>
    </row>
    <row r="17" spans="1:6" x14ac:dyDescent="0.15">
      <c r="A17" s="12"/>
      <c r="B17" s="20"/>
      <c r="C17" s="17"/>
      <c r="D17" s="13"/>
      <c r="E17" s="14"/>
      <c r="F17" s="14"/>
    </row>
    <row r="18" spans="1:6" x14ac:dyDescent="0.15">
      <c r="A18" s="12"/>
      <c r="B18" s="12"/>
      <c r="C18" s="16"/>
      <c r="D18" s="13"/>
      <c r="E18" s="13"/>
      <c r="F18" s="15"/>
    </row>
    <row r="19" spans="1:6" x14ac:dyDescent="0.15">
      <c r="A19" s="12"/>
      <c r="B19" s="12"/>
      <c r="C19" s="16"/>
      <c r="D19" s="13"/>
      <c r="E19" s="13"/>
      <c r="F19" s="15"/>
    </row>
    <row r="20" spans="1:6" x14ac:dyDescent="0.15">
      <c r="A20" s="12"/>
      <c r="B20" s="12"/>
      <c r="C20" s="16"/>
      <c r="D20" s="13"/>
      <c r="E20" s="13"/>
      <c r="F20" s="15"/>
    </row>
    <row r="21" spans="1:6" x14ac:dyDescent="0.15">
      <c r="A21" s="12"/>
      <c r="B21" s="12"/>
      <c r="C21" s="16"/>
      <c r="D21" s="13"/>
      <c r="E21" s="13"/>
      <c r="F21" s="15"/>
    </row>
    <row r="22" spans="1:6" x14ac:dyDescent="0.15">
      <c r="A22" s="12"/>
      <c r="B22" s="12"/>
      <c r="C22" s="16"/>
      <c r="D22" s="13"/>
      <c r="E22" s="13"/>
      <c r="F22" s="15"/>
    </row>
    <row r="23" spans="1:6" x14ac:dyDescent="0.15">
      <c r="A23" s="12"/>
      <c r="B23" s="12"/>
      <c r="C23" s="16"/>
      <c r="D23" s="13"/>
      <c r="E23" s="13"/>
      <c r="F23" s="15"/>
    </row>
    <row r="24" spans="1:6" x14ac:dyDescent="0.15">
      <c r="A24" s="12"/>
      <c r="B24" s="12"/>
      <c r="C24" s="16"/>
      <c r="D24" s="13"/>
      <c r="E24" s="13"/>
      <c r="F24" s="15"/>
    </row>
    <row r="25" spans="1:6" x14ac:dyDescent="0.15">
      <c r="A25" s="13"/>
      <c r="B25" s="13"/>
      <c r="C25" s="15"/>
      <c r="D25" s="13"/>
      <c r="E25" s="13"/>
      <c r="F25" s="13"/>
    </row>
    <row r="26" spans="1:6" x14ac:dyDescent="0.15">
      <c r="A26" s="14"/>
      <c r="B26" s="15"/>
      <c r="C26" s="15"/>
      <c r="D26" s="5"/>
      <c r="E26" s="6"/>
      <c r="F26" s="6"/>
    </row>
    <row r="27" spans="1:6" x14ac:dyDescent="0.15">
      <c r="A27" s="5"/>
      <c r="B27" s="6"/>
      <c r="C27" s="6"/>
      <c r="D27" s="5"/>
      <c r="E27" s="6"/>
      <c r="F27" s="6"/>
    </row>
    <row r="28" spans="1:6" x14ac:dyDescent="0.15">
      <c r="A28" s="5"/>
      <c r="B28" s="6"/>
      <c r="C28" s="6"/>
      <c r="D28" s="5"/>
      <c r="E28" s="6"/>
      <c r="F28" s="6"/>
    </row>
    <row r="29" spans="1:6" x14ac:dyDescent="0.15">
      <c r="A29" s="5"/>
      <c r="B29" s="6"/>
      <c r="C29" s="6"/>
      <c r="D29" s="5"/>
      <c r="E29" s="6"/>
      <c r="F29" s="6"/>
    </row>
    <row r="30" spans="1:6" x14ac:dyDescent="0.15">
      <c r="A30" s="5"/>
      <c r="B30" s="7"/>
      <c r="C30" s="6"/>
      <c r="D30" s="5"/>
      <c r="E30" s="6"/>
      <c r="F30" s="6"/>
    </row>
    <row r="31" spans="1:6" x14ac:dyDescent="0.15">
      <c r="A31" s="5"/>
      <c r="B31" s="7"/>
      <c r="C31" s="5"/>
      <c r="D31" s="5"/>
      <c r="E31" s="6"/>
      <c r="F31" s="6"/>
    </row>
    <row r="32" spans="1:6" x14ac:dyDescent="0.15">
      <c r="A32" s="5"/>
      <c r="B32" s="7"/>
      <c r="C32" s="6"/>
      <c r="D32" s="5"/>
      <c r="E32" s="6"/>
      <c r="F32" s="6"/>
    </row>
    <row r="33" spans="1:6" x14ac:dyDescent="0.15">
      <c r="A33" s="5"/>
      <c r="B33" s="6"/>
      <c r="C33" s="6"/>
      <c r="D33" s="5"/>
      <c r="E33" s="6"/>
      <c r="F33" s="6"/>
    </row>
    <row r="34" spans="1:6" x14ac:dyDescent="0.15">
      <c r="A34" s="5"/>
      <c r="B34" s="6"/>
      <c r="C34" s="6"/>
      <c r="D34" s="5"/>
      <c r="E34" s="6"/>
      <c r="F34" s="6"/>
    </row>
    <row r="35" spans="1:6" x14ac:dyDescent="0.15">
      <c r="A35" s="5"/>
      <c r="B35" s="6"/>
      <c r="C35" s="6"/>
      <c r="D35" s="5"/>
      <c r="E35" s="6"/>
      <c r="F35" s="6"/>
    </row>
    <row r="36" spans="1:6" x14ac:dyDescent="0.15">
      <c r="A36" s="5"/>
      <c r="B36" s="6"/>
      <c r="C36" s="6"/>
      <c r="D36" s="5"/>
      <c r="E36" s="6"/>
      <c r="F36" s="6"/>
    </row>
    <row r="37" spans="1:6" x14ac:dyDescent="0.15">
      <c r="A37" s="5"/>
      <c r="B37" s="6"/>
      <c r="C37" s="6"/>
      <c r="D37" s="5"/>
      <c r="E37" s="6"/>
      <c r="F37" s="6"/>
    </row>
    <row r="38" spans="1:6" x14ac:dyDescent="0.15">
      <c r="A38" s="5"/>
      <c r="B38" s="6"/>
      <c r="C38" s="6"/>
      <c r="D38" s="5"/>
      <c r="E38" s="6"/>
      <c r="F38" s="6"/>
    </row>
    <row r="39" spans="1:6" x14ac:dyDescent="0.15">
      <c r="A39" s="5"/>
      <c r="B39" s="6"/>
      <c r="C39" s="6"/>
      <c r="D39" s="5"/>
      <c r="E39" s="6"/>
      <c r="F39" s="6"/>
    </row>
    <row r="40" spans="1:6" x14ac:dyDescent="0.15">
      <c r="A40" s="5"/>
      <c r="B40" s="6"/>
      <c r="C40" s="6"/>
      <c r="D40" s="5"/>
      <c r="E40" s="6"/>
      <c r="F40" s="6"/>
    </row>
    <row r="41" spans="1:6" x14ac:dyDescent="0.15">
      <c r="A41" s="5"/>
      <c r="B41" s="6"/>
      <c r="C41" s="6"/>
      <c r="D41" s="5"/>
      <c r="E41" s="6"/>
      <c r="F41" s="6"/>
    </row>
    <row r="42" spans="1:6" x14ac:dyDescent="0.15">
      <c r="A42" s="5"/>
      <c r="B42" s="6"/>
      <c r="C42" s="6"/>
      <c r="D42" s="5"/>
      <c r="E42" s="6"/>
      <c r="F42" s="6"/>
    </row>
    <row r="43" spans="1:6" x14ac:dyDescent="0.15">
      <c r="A43" s="5"/>
      <c r="B43" s="6"/>
      <c r="C43" s="6"/>
      <c r="D43" s="5"/>
      <c r="E43" s="6"/>
      <c r="F43" s="6"/>
    </row>
    <row r="44" spans="1:6" x14ac:dyDescent="0.15">
      <c r="A44" s="5"/>
      <c r="B44" s="6"/>
      <c r="C44" s="6"/>
      <c r="D44" s="5"/>
      <c r="E44" s="6"/>
      <c r="F44" s="6"/>
    </row>
    <row r="45" spans="1:6" x14ac:dyDescent="0.15">
      <c r="A45" s="8"/>
      <c r="B45" s="9"/>
      <c r="C45" s="9"/>
      <c r="D45" s="9"/>
      <c r="E45" s="9"/>
      <c r="F45" s="9"/>
    </row>
    <row r="46" spans="1:6" x14ac:dyDescent="0.15">
      <c r="A46" s="8"/>
      <c r="B46" s="9"/>
      <c r="C46" s="9"/>
      <c r="D46" s="9"/>
      <c r="E46" s="9"/>
      <c r="F46" s="9"/>
    </row>
    <row r="47" spans="1:6" x14ac:dyDescent="0.15">
      <c r="A47" s="10" t="s">
        <v>0</v>
      </c>
      <c r="B47" s="43" t="e">
        <f>AVERAGE(B8:B46)</f>
        <v>#DIV/0!</v>
      </c>
      <c r="C47" s="43" t="e">
        <f>AVERAGE(C8:C46)</f>
        <v>#DIV/0!</v>
      </c>
      <c r="D47" s="10" t="s">
        <v>0</v>
      </c>
      <c r="E47" s="43" t="e">
        <f>AVERAGE(E8:E46)</f>
        <v>#DIV/0!</v>
      </c>
      <c r="F47" s="43" t="e">
        <f>AVERAGE(F8:F46)</f>
        <v>#DIV/0!</v>
      </c>
    </row>
    <row r="48" spans="1:6" x14ac:dyDescent="0.15">
      <c r="A48" s="10" t="s">
        <v>1</v>
      </c>
      <c r="B48" s="43">
        <f>MIN(B8:B46)</f>
        <v>0</v>
      </c>
      <c r="C48" s="43">
        <f>MIN(C8:C46)</f>
        <v>0</v>
      </c>
      <c r="D48" s="10" t="s">
        <v>1</v>
      </c>
      <c r="E48" s="43">
        <f>MIN(E8:E46)</f>
        <v>0</v>
      </c>
      <c r="F48" s="43">
        <f>MIN(F8:F46)</f>
        <v>0</v>
      </c>
    </row>
    <row r="49" spans="1:6" x14ac:dyDescent="0.15">
      <c r="A49" s="10" t="s">
        <v>2</v>
      </c>
      <c r="B49" s="43">
        <f>MAX(B8:B46)</f>
        <v>0</v>
      </c>
      <c r="C49" s="43">
        <f>MAX(C8:C46)</f>
        <v>0</v>
      </c>
      <c r="D49" s="10" t="s">
        <v>2</v>
      </c>
      <c r="E49" s="43">
        <f>MAX(E8:E46)</f>
        <v>0</v>
      </c>
      <c r="F49" s="43">
        <f>MAX(F8:F46)</f>
        <v>0</v>
      </c>
    </row>
    <row r="50" spans="1:6" x14ac:dyDescent="0.15">
      <c r="A50" s="10" t="s">
        <v>3</v>
      </c>
      <c r="B50" s="43" t="e">
        <f>STDEV(B8:B46)</f>
        <v>#DIV/0!</v>
      </c>
      <c r="C50" s="43" t="e">
        <f>STDEV(C8:C46)</f>
        <v>#DIV/0!</v>
      </c>
      <c r="D50" s="10" t="s">
        <v>3</v>
      </c>
      <c r="E50" s="43" t="e">
        <f>STDEV(E8:E46)</f>
        <v>#DIV/0!</v>
      </c>
      <c r="F50" s="43" t="e">
        <f>STDEV(F8:F46)</f>
        <v>#DIV/0!</v>
      </c>
    </row>
    <row r="51" spans="1:6" x14ac:dyDescent="0.15">
      <c r="A51" s="47" t="s">
        <v>6</v>
      </c>
      <c r="B51" s="48"/>
      <c r="C51" s="44" t="e">
        <f>AVERAGE(C47,F47)</f>
        <v>#DIV/0!</v>
      </c>
      <c r="D51" s="45"/>
      <c r="E51" s="45"/>
      <c r="F51" s="46"/>
    </row>
  </sheetData>
  <mergeCells count="4">
    <mergeCell ref="A6:C6"/>
    <mergeCell ref="D6:F6"/>
    <mergeCell ref="A51:B51"/>
    <mergeCell ref="C51:F51"/>
  </mergeCells>
  <phoneticPr fontId="0" type="noConversion"/>
  <printOptions horizontalCentered="1"/>
  <pageMargins left="0.51181102362204722" right="0.23622047244094491" top="1.4566929133858268" bottom="0.52083333333333337" header="0.35433070866141736" footer="0.19685039370078741"/>
  <pageSetup paperSize="9" orientation="portrait" verticalDpi="300" r:id="rId1"/>
  <headerFooter alignWithMargins="0">
    <oddHeader xml:space="preserve">&amp;L    &amp;G&amp;C&amp;"Arial,Bold"&amp;12 &amp;R&amp;"Arial Narrow,Bold"&amp;12SOUND VELOCITY PROFILER PROPAGATION
&amp;"Arial Narrow,Regular"&amp;9Doc. No.: PU-FM-OPS-SVY-004
Rev.: 1
Page &amp;P of &amp;N
</oddHeader>
    <oddFooter>&amp;C&amp;"Tahoma,Regular"&amp;10&amp;G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RAW</vt:lpstr>
      <vt:lpstr>SVP</vt:lpstr>
      <vt:lpstr>Graph</vt:lpstr>
      <vt:lpstr>SVP!Print_Area</vt:lpstr>
      <vt:lpstr>SVP!Print_Titles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Ryana Bestari</dc:creator>
  <cp:lastModifiedBy>Mukhammad Nur Sulaiman</cp:lastModifiedBy>
  <cp:lastPrinted>2025-11-12T12:18:39Z</cp:lastPrinted>
  <dcterms:created xsi:type="dcterms:W3CDTF">2000-04-13T16:49:21Z</dcterms:created>
  <dcterms:modified xsi:type="dcterms:W3CDTF">2026-01-26T02:58:29Z</dcterms:modified>
</cp:coreProperties>
</file>